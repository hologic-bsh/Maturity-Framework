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0822\Desktop\"/>
    </mc:Choice>
  </mc:AlternateContent>
  <xr:revisionPtr revIDLastSave="0" documentId="13_ncr:1_{93DA16B7-5F92-4DBA-BCB6-79403E6F0C09}" xr6:coauthVersionLast="47" xr6:coauthVersionMax="47" xr10:uidLastSave="{00000000-0000-0000-0000-000000000000}"/>
  <bookViews>
    <workbookView xWindow="4260" yWindow="1590" windowWidth="31605" windowHeight="17280" xr2:uid="{5C18E856-8E82-41CD-B684-531444B95847}"/>
  </bookViews>
  <sheets>
    <sheet name="Instructions" sheetId="33" r:id="rId1"/>
    <sheet name="Calc" sheetId="27" r:id="rId2"/>
    <sheet name="Example" sheetId="3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32" l="1"/>
  <c r="S16" i="32"/>
  <c r="S13" i="32"/>
  <c r="S10" i="32"/>
  <c r="S7" i="32"/>
  <c r="S4" i="32"/>
  <c r="S19" i="27"/>
  <c r="S16" i="27"/>
  <c r="S13" i="27"/>
  <c r="S10" i="27"/>
  <c r="S7" i="27"/>
  <c r="S4" i="27"/>
  <c r="P21" i="32" l="1"/>
  <c r="P21" i="27"/>
</calcChain>
</file>

<file path=xl/sharedStrings.xml><?xml version="1.0" encoding="utf-8"?>
<sst xmlns="http://schemas.openxmlformats.org/spreadsheetml/2006/main" count="78" uniqueCount="45">
  <si>
    <t>Risk Management</t>
  </si>
  <si>
    <t>Total Score</t>
  </si>
  <si>
    <t>Threat Modeling</t>
  </si>
  <si>
    <t>Secure Design</t>
  </si>
  <si>
    <t>Secure Development</t>
  </si>
  <si>
    <t>Security Testing</t>
  </si>
  <si>
    <t>Lifecycle Management</t>
  </si>
  <si>
    <t>Privacy &amp; Data Protection</t>
  </si>
  <si>
    <t>Third Party Components</t>
  </si>
  <si>
    <t>Software Bill of Materials (SBOM)</t>
  </si>
  <si>
    <t>Security Architecture</t>
  </si>
  <si>
    <t>Cybersecurity Requirements</t>
  </si>
  <si>
    <t>Secure Build</t>
  </si>
  <si>
    <t>Secure Coding &amp; Code Quality</t>
  </si>
  <si>
    <t>Supply Chain Security &amp; Manufacturing Integrity</t>
  </si>
  <si>
    <t>Security Training, Awareness &amp; Culture</t>
  </si>
  <si>
    <t>Configuration Security and Validation</t>
  </si>
  <si>
    <t>Cybersecurity Controls</t>
  </si>
  <si>
    <t>Vulnerability Assessment &amp; Management</t>
  </si>
  <si>
    <t>Red Team &amp; Penetration Testing</t>
  </si>
  <si>
    <t>Measures and Metrics</t>
  </si>
  <si>
    <t>Risk Assessment and Mitigation</t>
  </si>
  <si>
    <t>Cybersecurity Governance and Program Management</t>
  </si>
  <si>
    <t>Labeling, Documentation, and Compliance</t>
  </si>
  <si>
    <t>Data Architecture &amp; Design</t>
  </si>
  <si>
    <t>Data Inventory &amp; Classification</t>
  </si>
  <si>
    <t>Privacy &amp; Data Security Governance</t>
  </si>
  <si>
    <t>Secure Data Processing &amp; Handling</t>
  </si>
  <si>
    <t>Threat Monitoring and Intelligence</t>
  </si>
  <si>
    <t>Incident Detection and Response</t>
  </si>
  <si>
    <t>Product Lifecycle Transition Management</t>
  </si>
  <si>
    <t>Coordinated Vulnerability Disclosure, Information Sharing, and Collaboration</t>
  </si>
  <si>
    <t>Patch Management</t>
  </si>
  <si>
    <t>Maturity Framework Calculator</t>
  </si>
  <si>
    <t>V 1.0</t>
  </si>
  <si>
    <t>Matthew Hillyer, Product Security Leader</t>
  </si>
  <si>
    <t>Name:</t>
  </si>
  <si>
    <t>Version</t>
  </si>
  <si>
    <t>Date:</t>
  </si>
  <si>
    <t>Author:</t>
  </si>
  <si>
    <t>1. For each function, input a score from 0 - 5.0</t>
  </si>
  <si>
    <t>2. The calculator will compute the average score of all the functions scores for that domain.</t>
  </si>
  <si>
    <t>3. The overall maturity score is the sum of all the domain scores divided by the 6 domains to give you an average.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</si>
  <si>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The functions could be weighted to give more importance to spcific functions as well as the overall score could have specific domains weighted to demonstate domains of importance.</t>
    </r>
  </si>
  <si>
    <t>Instructions for use: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</si>
</sst>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C3396"/>
        <bgColor indexed="64"/>
      </patternFill>
    </fill>
    <fill>
      <patternFill patternType="solid">
        <fgColor rgb="FF7E44A9"/>
        <bgColor indexed="64"/>
      </patternFill>
    </fill>
    <fill>
      <patternFill patternType="solid">
        <fgColor rgb="FF1999B2"/>
        <bgColor indexed="64"/>
      </patternFill>
    </fill>
    <fill>
      <patternFill patternType="solid">
        <fgColor rgb="FF198CB5"/>
        <bgColor indexed="64"/>
      </patternFill>
    </fill>
    <fill>
      <patternFill patternType="solid">
        <fgColor rgb="FF197EC6"/>
        <bgColor indexed="64"/>
      </patternFill>
    </fill>
    <fill>
      <patternFill patternType="solid">
        <fgColor rgb="FF233884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2" fillId="0" borderId="13" xfId="0" applyFont="1" applyBorder="1"/>
    <xf numFmtId="0" fontId="0" fillId="2" borderId="0" xfId="0" applyFill="1" applyAlignment="1">
      <alignment wrapText="1"/>
    </xf>
    <xf numFmtId="164" fontId="2" fillId="2" borderId="0" xfId="0" applyNumberFormat="1" applyFont="1" applyFill="1"/>
    <xf numFmtId="2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0" fontId="2" fillId="0" borderId="7" xfId="0" applyFont="1" applyBorder="1"/>
    <xf numFmtId="2" fontId="3" fillId="2" borderId="16" xfId="0" applyNumberFormat="1" applyFont="1" applyFill="1" applyBorder="1" applyAlignment="1">
      <alignment horizontal="center" vertical="center"/>
    </xf>
    <xf numFmtId="0" fontId="2" fillId="0" borderId="0" xfId="0" applyFont="1"/>
    <xf numFmtId="0" fontId="8" fillId="0" borderId="1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9" fillId="9" borderId="0" xfId="0" applyFont="1" applyFill="1"/>
    <xf numFmtId="0" fontId="9" fillId="9" borderId="0" xfId="0" applyFont="1" applyFill="1" applyAlignment="1">
      <alignment horizontal="center"/>
    </xf>
    <xf numFmtId="14" fontId="9" fillId="9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2" fontId="3" fillId="2" borderId="5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5" fillId="0" borderId="0" xfId="0" applyFont="1" applyBorder="1" applyAlignment="1">
      <alignment wrapText="1"/>
    </xf>
    <xf numFmtId="0" fontId="2" fillId="0" borderId="0" xfId="0" applyFont="1" applyBorder="1"/>
    <xf numFmtId="0" fontId="6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0" fillId="0" borderId="0" xfId="0" applyBorder="1"/>
  </cellXfs>
  <cellStyles count="1">
    <cellStyle name="Normal" xfId="0" builtinId="0"/>
  </cellStyles>
  <dxfs count="278"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  <dxf>
      <fill>
        <patternFill>
          <bgColor rgb="FF007D71"/>
        </patternFill>
      </fill>
    </dxf>
    <dxf>
      <fill>
        <patternFill>
          <bgColor rgb="FF2B9336"/>
        </patternFill>
      </fill>
    </dxf>
    <dxf>
      <fill>
        <patternFill>
          <bgColor rgb="FF86B320"/>
        </patternFill>
      </fill>
    </dxf>
    <dxf>
      <fill>
        <patternFill>
          <bgColor rgb="FFEAD208"/>
        </patternFill>
      </fill>
    </dxf>
    <dxf>
      <fill>
        <patternFill>
          <bgColor rgb="FFF7BB11"/>
        </patternFill>
      </fill>
    </dxf>
    <dxf>
      <fill>
        <patternFill>
          <bgColor rgb="FFEF8A26"/>
        </patternFill>
      </fill>
    </dxf>
    <dxf>
      <fill>
        <patternFill>
          <bgColor rgb="FFEF8A26"/>
        </patternFill>
      </fill>
    </dxf>
    <dxf>
      <fill>
        <patternFill>
          <bgColor rgb="FFE56727"/>
        </patternFill>
      </fill>
    </dxf>
    <dxf>
      <fill>
        <patternFill>
          <bgColor rgb="FFD53A17"/>
        </patternFill>
      </fill>
    </dxf>
    <dxf>
      <fill>
        <patternFill>
          <bgColor rgb="FFC71307"/>
        </patternFill>
      </fill>
    </dxf>
    <dxf>
      <fill>
        <patternFill>
          <bgColor rgb="FFBA0101"/>
        </patternFill>
      </fill>
    </dxf>
  </dxfs>
  <tableStyles count="0" defaultTableStyle="TableStyleMedium2" defaultPivotStyle="PivotStyleLight16"/>
  <colors>
    <mruColors>
      <color rgb="FF198CB5"/>
      <color rgb="FF233884"/>
      <color rgb="FF197EC6"/>
      <color rgb="FF1999B2"/>
      <color rgb="FF7E44A9"/>
      <color rgb="FF9C3396"/>
      <color rgb="FF800B14"/>
      <color rgb="FFF8A9B0"/>
      <color rgb="FF86B320"/>
      <color rgb="FF007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004E-6E71-486C-B7DE-CB1644D18450}">
  <dimension ref="A1:D11"/>
  <sheetViews>
    <sheetView tabSelected="1" workbookViewId="0">
      <selection activeCell="B1" sqref="B1"/>
    </sheetView>
  </sheetViews>
  <sheetFormatPr defaultRowHeight="15" x14ac:dyDescent="0.25"/>
  <cols>
    <col min="1" max="1" width="9.7109375" customWidth="1"/>
    <col min="2" max="2" width="36.85546875" customWidth="1"/>
    <col min="3" max="3" width="2.85546875" customWidth="1"/>
    <col min="4" max="4" width="99.28515625" customWidth="1"/>
  </cols>
  <sheetData>
    <row r="1" spans="1:4" x14ac:dyDescent="0.25">
      <c r="A1" s="97" t="s">
        <v>36</v>
      </c>
      <c r="B1" s="98" t="s">
        <v>33</v>
      </c>
    </row>
    <row r="2" spans="1:4" x14ac:dyDescent="0.25">
      <c r="A2" s="97" t="s">
        <v>37</v>
      </c>
      <c r="B2" s="98" t="s">
        <v>34</v>
      </c>
    </row>
    <row r="3" spans="1:4" x14ac:dyDescent="0.25">
      <c r="A3" s="97" t="s">
        <v>38</v>
      </c>
      <c r="B3" s="99">
        <v>46118</v>
      </c>
    </row>
    <row r="4" spans="1:4" x14ac:dyDescent="0.25">
      <c r="A4" s="97" t="s">
        <v>39</v>
      </c>
      <c r="B4" s="98" t="s">
        <v>35</v>
      </c>
    </row>
    <row r="5" spans="1:4" x14ac:dyDescent="0.25">
      <c r="D5" s="36" t="s">
        <v>44</v>
      </c>
    </row>
    <row r="7" spans="1:4" x14ac:dyDescent="0.25">
      <c r="D7" t="s">
        <v>40</v>
      </c>
    </row>
    <row r="8" spans="1:4" x14ac:dyDescent="0.25">
      <c r="D8" t="s">
        <v>41</v>
      </c>
    </row>
    <row r="9" spans="1:4" x14ac:dyDescent="0.25">
      <c r="D9" t="s">
        <v>42</v>
      </c>
    </row>
    <row r="11" spans="1:4" ht="30" x14ac:dyDescent="0.25">
      <c r="D11" s="10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B646-8299-4388-8A96-E756BFC2CCCE}">
  <dimension ref="A1:X33"/>
  <sheetViews>
    <sheetView zoomScale="110" zoomScaleNormal="110" workbookViewId="0">
      <selection activeCell="P4" sqref="P4"/>
    </sheetView>
  </sheetViews>
  <sheetFormatPr defaultRowHeight="15" x14ac:dyDescent="0.25"/>
  <cols>
    <col min="1" max="1" width="5.7109375" customWidth="1"/>
    <col min="2" max="2" width="29.7109375" customWidth="1"/>
    <col min="3" max="3" width="1.140625" customWidth="1"/>
    <col min="4" max="5" width="2.28515625" customWidth="1"/>
    <col min="6" max="6" width="18.7109375" customWidth="1"/>
    <col min="7" max="7" width="2.28515625" customWidth="1"/>
    <col min="8" max="8" width="18.7109375" customWidth="1"/>
    <col min="9" max="9" width="2.28515625" customWidth="1"/>
    <col min="10" max="10" width="18.7109375" customWidth="1"/>
    <col min="11" max="11" width="2.28515625" customWidth="1"/>
    <col min="12" max="12" width="18.7109375" customWidth="1"/>
    <col min="13" max="13" width="2.28515625" customWidth="1"/>
    <col min="14" max="14" width="18.7109375" customWidth="1"/>
    <col min="15" max="15" width="2.28515625" customWidth="1"/>
    <col min="16" max="16" width="18.7109375" customWidth="1"/>
    <col min="17" max="17" width="2.28515625" customWidth="1"/>
    <col min="18" max="18" width="2.5703125" customWidth="1"/>
    <col min="19" max="19" width="9.5703125" style="2" customWidth="1"/>
    <col min="20" max="20" width="5.7109375" customWidth="1"/>
    <col min="21" max="21" width="111.7109375" customWidth="1"/>
    <col min="23" max="23" width="20.5703125" customWidth="1"/>
    <col min="24" max="24" width="104" customWidth="1"/>
  </cols>
  <sheetData>
    <row r="1" spans="1:24" ht="1.35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</row>
    <row r="2" spans="1:24" ht="16.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4"/>
      <c r="T2" s="4"/>
      <c r="U2" s="3"/>
    </row>
    <row r="3" spans="1:24" ht="47.45" customHeight="1" x14ac:dyDescent="0.25">
      <c r="A3" s="3"/>
      <c r="B3" s="79" t="s">
        <v>3</v>
      </c>
      <c r="C3" s="3"/>
      <c r="D3" s="81"/>
      <c r="E3" s="83"/>
      <c r="F3" s="83"/>
      <c r="G3" s="83"/>
      <c r="H3" s="6" t="s">
        <v>8</v>
      </c>
      <c r="I3" s="25"/>
      <c r="J3" s="6" t="s">
        <v>9</v>
      </c>
      <c r="K3" s="83"/>
      <c r="L3" s="6" t="s">
        <v>10</v>
      </c>
      <c r="M3" s="83"/>
      <c r="N3" s="6" t="s">
        <v>2</v>
      </c>
      <c r="O3" s="83"/>
      <c r="P3" s="6" t="s">
        <v>11</v>
      </c>
      <c r="Q3" s="69"/>
      <c r="R3" s="3"/>
      <c r="S3" s="14"/>
      <c r="T3" s="4"/>
      <c r="U3" s="3"/>
    </row>
    <row r="4" spans="1:24" ht="22.5" customHeight="1" x14ac:dyDescent="0.25">
      <c r="A4" s="3"/>
      <c r="B4" s="80"/>
      <c r="C4" s="3"/>
      <c r="D4" s="82"/>
      <c r="E4" s="84"/>
      <c r="F4" s="84"/>
      <c r="G4" s="84"/>
      <c r="H4" s="7">
        <v>0</v>
      </c>
      <c r="I4" s="26"/>
      <c r="J4" s="7">
        <v>0</v>
      </c>
      <c r="K4" s="84"/>
      <c r="L4" s="7">
        <v>0</v>
      </c>
      <c r="M4" s="84"/>
      <c r="N4" s="7">
        <v>0</v>
      </c>
      <c r="O4" s="84"/>
      <c r="P4" s="7">
        <v>0</v>
      </c>
      <c r="Q4" s="70"/>
      <c r="R4" s="3"/>
      <c r="S4" s="7">
        <f>AVERAGE(H4,J4,L4,N4,P4)</f>
        <v>0</v>
      </c>
      <c r="T4" s="12"/>
      <c r="U4" s="3"/>
    </row>
    <row r="5" spans="1:24" ht="5.0999999999999996" customHeight="1" x14ac:dyDescent="0.4">
      <c r="A5" s="3"/>
      <c r="B5" s="9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16"/>
      <c r="T5" s="4"/>
      <c r="U5" s="3"/>
    </row>
    <row r="6" spans="1:24" ht="45" customHeight="1" x14ac:dyDescent="0.3">
      <c r="A6" s="3"/>
      <c r="B6" s="71" t="s">
        <v>4</v>
      </c>
      <c r="C6" s="3"/>
      <c r="D6" s="95"/>
      <c r="E6" s="75"/>
      <c r="F6" s="75"/>
      <c r="G6" s="75"/>
      <c r="H6" s="75"/>
      <c r="I6" s="77"/>
      <c r="J6" s="6" t="s">
        <v>12</v>
      </c>
      <c r="K6" s="75"/>
      <c r="L6" s="6" t="s">
        <v>13</v>
      </c>
      <c r="M6" s="75"/>
      <c r="N6" s="6" t="s">
        <v>14</v>
      </c>
      <c r="O6" s="75"/>
      <c r="P6" s="6" t="s">
        <v>15</v>
      </c>
      <c r="Q6" s="77"/>
      <c r="R6" s="3"/>
      <c r="S6" s="16"/>
      <c r="T6" s="4"/>
      <c r="U6" s="3"/>
    </row>
    <row r="7" spans="1:24" ht="27.75" customHeight="1" x14ac:dyDescent="0.25">
      <c r="A7" s="3"/>
      <c r="B7" s="72"/>
      <c r="C7" s="3"/>
      <c r="D7" s="96"/>
      <c r="E7" s="76"/>
      <c r="F7" s="76"/>
      <c r="G7" s="76"/>
      <c r="H7" s="76"/>
      <c r="I7" s="78"/>
      <c r="J7" s="7">
        <v>0</v>
      </c>
      <c r="K7" s="76"/>
      <c r="L7" s="7">
        <v>0</v>
      </c>
      <c r="M7" s="76"/>
      <c r="N7" s="7">
        <v>0</v>
      </c>
      <c r="O7" s="76"/>
      <c r="P7" s="7">
        <v>0</v>
      </c>
      <c r="Q7" s="78"/>
      <c r="R7" s="3"/>
      <c r="S7" s="7">
        <f>AVERAGE(J7,L7,N7,P7)</f>
        <v>0</v>
      </c>
      <c r="T7" s="13"/>
      <c r="U7" s="3"/>
    </row>
    <row r="8" spans="1:24" ht="5.0999999999999996" customHeight="1" x14ac:dyDescent="0.4">
      <c r="A8" s="3"/>
      <c r="B8" s="9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"/>
      <c r="S8" s="16"/>
      <c r="T8" s="4"/>
      <c r="U8" s="3"/>
    </row>
    <row r="9" spans="1:24" ht="43.5" customHeight="1" x14ac:dyDescent="0.3">
      <c r="A9" s="3"/>
      <c r="B9" s="55" t="s">
        <v>5</v>
      </c>
      <c r="C9" s="3"/>
      <c r="D9" s="87"/>
      <c r="E9" s="59"/>
      <c r="F9" s="59"/>
      <c r="G9" s="59"/>
      <c r="H9" s="59"/>
      <c r="I9" s="61"/>
      <c r="J9" s="6" t="s">
        <v>16</v>
      </c>
      <c r="K9" s="59"/>
      <c r="L9" s="6" t="s">
        <v>17</v>
      </c>
      <c r="M9" s="27"/>
      <c r="N9" s="6" t="s">
        <v>18</v>
      </c>
      <c r="O9" s="27"/>
      <c r="P9" s="6" t="s">
        <v>19</v>
      </c>
      <c r="Q9" s="61"/>
      <c r="R9" s="3"/>
      <c r="S9" s="16"/>
      <c r="T9" s="4"/>
      <c r="U9" s="3"/>
    </row>
    <row r="10" spans="1:24" ht="25.15" customHeight="1" x14ac:dyDescent="0.25">
      <c r="A10" s="3"/>
      <c r="B10" s="56"/>
      <c r="C10" s="3"/>
      <c r="D10" s="88"/>
      <c r="E10" s="60"/>
      <c r="F10" s="60"/>
      <c r="G10" s="60"/>
      <c r="H10" s="60"/>
      <c r="I10" s="62"/>
      <c r="J10" s="7">
        <v>0</v>
      </c>
      <c r="K10" s="60"/>
      <c r="L10" s="7">
        <v>0</v>
      </c>
      <c r="M10" s="28"/>
      <c r="N10" s="7">
        <v>0</v>
      </c>
      <c r="O10" s="28"/>
      <c r="P10" s="7">
        <v>0</v>
      </c>
      <c r="Q10" s="62"/>
      <c r="R10" s="3"/>
      <c r="S10" s="7">
        <f>AVERAGE(J10,L10,N10,P10)</f>
        <v>0</v>
      </c>
      <c r="T10" s="13"/>
      <c r="U10" s="3"/>
    </row>
    <row r="11" spans="1:24" ht="3" customHeight="1" x14ac:dyDescent="0.4">
      <c r="A11" s="3"/>
      <c r="B11" s="9"/>
      <c r="C11" s="3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4"/>
      <c r="Q11" s="5"/>
      <c r="R11" s="11"/>
      <c r="S11" s="17"/>
      <c r="T11" s="5"/>
      <c r="U11" s="3"/>
    </row>
    <row r="12" spans="1:24" ht="43.5" customHeight="1" x14ac:dyDescent="0.3">
      <c r="A12" s="3"/>
      <c r="B12" s="63" t="s">
        <v>0</v>
      </c>
      <c r="C12" s="3"/>
      <c r="D12" s="89"/>
      <c r="E12" s="90"/>
      <c r="F12" s="90"/>
      <c r="G12" s="90"/>
      <c r="H12" s="90"/>
      <c r="I12" s="91"/>
      <c r="J12" s="31" t="s">
        <v>20</v>
      </c>
      <c r="K12" s="67"/>
      <c r="L12" s="6" t="s">
        <v>21</v>
      </c>
      <c r="M12" s="67"/>
      <c r="N12" s="22" t="s">
        <v>22</v>
      </c>
      <c r="O12" s="67"/>
      <c r="P12" s="6" t="s">
        <v>23</v>
      </c>
      <c r="Q12" s="67"/>
      <c r="R12" s="3"/>
      <c r="S12" s="16"/>
      <c r="T12" s="4"/>
      <c r="U12" s="3"/>
    </row>
    <row r="13" spans="1:24" ht="25.15" customHeight="1" x14ac:dyDescent="0.25">
      <c r="A13" s="3"/>
      <c r="B13" s="64"/>
      <c r="C13" s="3"/>
      <c r="D13" s="92"/>
      <c r="E13" s="93"/>
      <c r="F13" s="93"/>
      <c r="G13" s="93"/>
      <c r="H13" s="93"/>
      <c r="I13" s="94"/>
      <c r="J13" s="32">
        <v>0</v>
      </c>
      <c r="K13" s="68"/>
      <c r="L13" s="7">
        <v>0</v>
      </c>
      <c r="M13" s="68"/>
      <c r="N13" s="7">
        <v>0</v>
      </c>
      <c r="O13" s="68"/>
      <c r="P13" s="7">
        <v>0</v>
      </c>
      <c r="Q13" s="68"/>
      <c r="R13" s="3"/>
      <c r="S13" s="7">
        <f>AVERAGE(J13,L13,N13,P13)</f>
        <v>0</v>
      </c>
      <c r="T13" s="13"/>
      <c r="U13" s="3"/>
    </row>
    <row r="14" spans="1:24" ht="5.0999999999999996" customHeight="1" x14ac:dyDescent="0.4">
      <c r="A14" s="3"/>
      <c r="B14" s="9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3"/>
      <c r="S14" s="16"/>
      <c r="T14" s="4"/>
      <c r="U14" s="3"/>
      <c r="V14" s="19"/>
      <c r="W14" s="19"/>
      <c r="X14" s="1"/>
    </row>
    <row r="15" spans="1:24" ht="42.75" customHeight="1" x14ac:dyDescent="0.3">
      <c r="A15" s="3"/>
      <c r="B15" s="43" t="s">
        <v>7</v>
      </c>
      <c r="C15" s="3"/>
      <c r="D15" s="45"/>
      <c r="E15" s="47"/>
      <c r="F15" s="47"/>
      <c r="G15" s="47"/>
      <c r="H15" s="47"/>
      <c r="I15" s="47"/>
      <c r="J15" s="8" t="s">
        <v>24</v>
      </c>
      <c r="K15" s="47"/>
      <c r="L15" s="6" t="s">
        <v>25</v>
      </c>
      <c r="M15" s="29"/>
      <c r="N15" s="6" t="s">
        <v>26</v>
      </c>
      <c r="O15" s="29"/>
      <c r="P15" s="22" t="s">
        <v>27</v>
      </c>
      <c r="Q15" s="49"/>
      <c r="R15" s="3"/>
      <c r="S15" s="16"/>
      <c r="T15" s="4"/>
      <c r="U15" s="3"/>
      <c r="V15" s="3"/>
      <c r="W15" s="3"/>
    </row>
    <row r="16" spans="1:24" ht="25.15" customHeight="1" x14ac:dyDescent="0.25">
      <c r="A16" s="3"/>
      <c r="B16" s="44"/>
      <c r="C16" s="3"/>
      <c r="D16" s="46"/>
      <c r="E16" s="48"/>
      <c r="F16" s="48"/>
      <c r="G16" s="48"/>
      <c r="H16" s="48"/>
      <c r="I16" s="48"/>
      <c r="J16" s="7">
        <v>0</v>
      </c>
      <c r="K16" s="48"/>
      <c r="L16" s="7">
        <v>0</v>
      </c>
      <c r="M16" s="30"/>
      <c r="N16" s="7">
        <v>0</v>
      </c>
      <c r="O16" s="30"/>
      <c r="P16" s="7">
        <v>0</v>
      </c>
      <c r="Q16" s="50"/>
      <c r="R16" s="3"/>
      <c r="S16" s="7">
        <f>AVERAGE(J16,L16,N16,P16)</f>
        <v>0</v>
      </c>
      <c r="T16" s="13"/>
      <c r="U16" s="3"/>
      <c r="V16" s="3"/>
      <c r="W16" s="3"/>
    </row>
    <row r="17" spans="1:23" ht="5.0999999999999996" customHeight="1" x14ac:dyDescent="0.4">
      <c r="A17" s="3"/>
      <c r="B17" s="9"/>
      <c r="C17" s="3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3"/>
      <c r="S17" s="16"/>
      <c r="T17" s="4"/>
      <c r="U17" s="3"/>
      <c r="V17" s="3"/>
      <c r="W17" s="3"/>
    </row>
    <row r="18" spans="1:23" ht="55.5" customHeight="1" x14ac:dyDescent="0.3">
      <c r="A18" s="3"/>
      <c r="B18" s="51" t="s">
        <v>6</v>
      </c>
      <c r="C18" s="3"/>
      <c r="D18" s="53"/>
      <c r="E18" s="38"/>
      <c r="F18" s="38"/>
      <c r="G18" s="38"/>
      <c r="H18" s="8" t="s">
        <v>28</v>
      </c>
      <c r="I18" s="38"/>
      <c r="J18" s="6" t="s">
        <v>29</v>
      </c>
      <c r="K18" s="38"/>
      <c r="L18" s="6" t="s">
        <v>30</v>
      </c>
      <c r="M18" s="38"/>
      <c r="N18" s="37" t="s">
        <v>31</v>
      </c>
      <c r="O18" s="38"/>
      <c r="P18" s="6" t="s">
        <v>32</v>
      </c>
      <c r="Q18" s="40"/>
      <c r="R18" s="3"/>
      <c r="S18" s="16"/>
      <c r="T18" s="4"/>
      <c r="U18" s="3"/>
    </row>
    <row r="19" spans="1:23" ht="28.5" customHeight="1" x14ac:dyDescent="0.3">
      <c r="A19" s="3"/>
      <c r="B19" s="86"/>
      <c r="C19" s="3"/>
      <c r="D19" s="39"/>
      <c r="E19" s="39"/>
      <c r="F19" s="39"/>
      <c r="G19" s="39"/>
      <c r="H19" s="7">
        <v>0</v>
      </c>
      <c r="I19" s="39"/>
      <c r="J19" s="7">
        <v>0</v>
      </c>
      <c r="K19" s="39"/>
      <c r="L19" s="7">
        <v>0</v>
      </c>
      <c r="M19" s="39"/>
      <c r="N19" s="7">
        <v>0</v>
      </c>
      <c r="O19" s="39"/>
      <c r="P19" s="7">
        <v>0</v>
      </c>
      <c r="Q19" s="41"/>
      <c r="R19" s="3"/>
      <c r="S19" s="7">
        <f>AVERAGE(J19,L19,P19)</f>
        <v>0</v>
      </c>
      <c r="T19" s="13"/>
      <c r="U19" s="3"/>
      <c r="V19" s="3"/>
      <c r="W19" s="18"/>
    </row>
    <row r="20" spans="1:23" ht="5.0999999999999996" customHeight="1" thickBot="1" x14ac:dyDescent="0.45">
      <c r="A20" s="3"/>
      <c r="B20" s="33"/>
      <c r="C20" s="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10"/>
      <c r="O20" s="10"/>
      <c r="P20" s="34"/>
      <c r="Q20" s="36"/>
      <c r="R20" s="3"/>
      <c r="S20" s="16"/>
      <c r="T20" s="4"/>
      <c r="U20" s="3"/>
      <c r="V20" s="3"/>
      <c r="W20" s="3"/>
    </row>
    <row r="21" spans="1:23" ht="43.5" customHeight="1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2" t="s">
        <v>1</v>
      </c>
      <c r="O21" s="85"/>
      <c r="P21" s="35">
        <f>SUM(S4+S7+S10+S13+S16+S19)/6</f>
        <v>0</v>
      </c>
      <c r="Q21" s="3"/>
      <c r="R21" s="3"/>
      <c r="S21" s="15"/>
      <c r="T21" s="3"/>
      <c r="U21" s="3"/>
    </row>
    <row r="22" spans="1:23" ht="1.3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Q22" s="3"/>
      <c r="R22" s="3"/>
      <c r="S22" s="15"/>
      <c r="T22" s="3"/>
      <c r="U22" s="3"/>
    </row>
    <row r="23" spans="1:23" ht="144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0"/>
      <c r="O23" s="20"/>
      <c r="P23" s="21"/>
      <c r="Q23" s="3"/>
      <c r="R23" s="3"/>
      <c r="S23" s="15"/>
      <c r="T23" s="3"/>
      <c r="U23" s="3"/>
    </row>
    <row r="24" spans="1:23" ht="20.25" customHeight="1" x14ac:dyDescent="0.25">
      <c r="N24" s="23"/>
      <c r="O24" s="23"/>
      <c r="P24" s="24"/>
    </row>
    <row r="25" spans="1:23" ht="60.75" customHeight="1" x14ac:dyDescent="0.25">
      <c r="S25"/>
    </row>
    <row r="26" spans="1:23" ht="20.45" customHeight="1" x14ac:dyDescent="0.25">
      <c r="S26"/>
    </row>
    <row r="27" spans="1:23" ht="3" customHeight="1" x14ac:dyDescent="0.25">
      <c r="S27"/>
    </row>
    <row r="28" spans="1:23" x14ac:dyDescent="0.25">
      <c r="S28"/>
    </row>
    <row r="29" spans="1:23" ht="24" customHeight="1" x14ac:dyDescent="0.25">
      <c r="S29"/>
    </row>
    <row r="30" spans="1:23" ht="3" customHeight="1" x14ac:dyDescent="0.25">
      <c r="S30"/>
    </row>
    <row r="31" spans="1:23" ht="54.6" customHeight="1" x14ac:dyDescent="0.25">
      <c r="S31"/>
    </row>
    <row r="32" spans="1:23" ht="27.75" customHeight="1" x14ac:dyDescent="0.25">
      <c r="S32"/>
    </row>
    <row r="33" spans="19:19" x14ac:dyDescent="0.25">
      <c r="S33"/>
    </row>
  </sheetData>
  <mergeCells count="41">
    <mergeCell ref="B3:B4"/>
    <mergeCell ref="D3:D4"/>
    <mergeCell ref="E3:E4"/>
    <mergeCell ref="F3:F4"/>
    <mergeCell ref="G3:G4"/>
    <mergeCell ref="K3:K4"/>
    <mergeCell ref="M3:M4"/>
    <mergeCell ref="O3:O4"/>
    <mergeCell ref="Q3:Q4"/>
    <mergeCell ref="B6:B7"/>
    <mergeCell ref="D6:I7"/>
    <mergeCell ref="K6:K7"/>
    <mergeCell ref="M6:M7"/>
    <mergeCell ref="O6:O7"/>
    <mergeCell ref="Q6:Q7"/>
    <mergeCell ref="B9:B10"/>
    <mergeCell ref="D9:I10"/>
    <mergeCell ref="K9:K10"/>
    <mergeCell ref="Q9:Q10"/>
    <mergeCell ref="B12:B13"/>
    <mergeCell ref="D12:I13"/>
    <mergeCell ref="K12:K13"/>
    <mergeCell ref="M12:M13"/>
    <mergeCell ref="O12:O13"/>
    <mergeCell ref="Q12:Q13"/>
    <mergeCell ref="Q15:Q16"/>
    <mergeCell ref="B18:B19"/>
    <mergeCell ref="D18:D19"/>
    <mergeCell ref="E18:E19"/>
    <mergeCell ref="F18:F19"/>
    <mergeCell ref="G18:G19"/>
    <mergeCell ref="Q18:Q19"/>
    <mergeCell ref="N21:O21"/>
    <mergeCell ref="B15:B16"/>
    <mergeCell ref="D15:D16"/>
    <mergeCell ref="E15:I16"/>
    <mergeCell ref="K15:K16"/>
    <mergeCell ref="I18:I19"/>
    <mergeCell ref="K18:K19"/>
    <mergeCell ref="M18:M19"/>
    <mergeCell ref="O18:O19"/>
  </mergeCells>
  <conditionalFormatting sqref="H4">
    <cfRule type="cellIs" dxfId="277" priority="78" operator="equal">
      <formula>0</formula>
    </cfRule>
    <cfRule type="cellIs" dxfId="276" priority="79" operator="between">
      <formula>0.01</formula>
      <formula>0.99</formula>
    </cfRule>
    <cfRule type="cellIs" dxfId="275" priority="80" operator="between">
      <formula>1</formula>
      <formula>1.49</formula>
    </cfRule>
    <cfRule type="cellIs" dxfId="274" priority="81" operator="between">
      <formula>1.5</formula>
      <formula>1.99</formula>
    </cfRule>
    <cfRule type="cellIs" dxfId="273" priority="82" operator="between">
      <formula>2</formula>
      <formula>2.49</formula>
    </cfRule>
    <cfRule type="cellIs" dxfId="272" priority="83" operator="between">
      <formula>2.5</formula>
      <formula>2.99</formula>
    </cfRule>
    <cfRule type="cellIs" dxfId="271" priority="84" operator="between">
      <formula>3</formula>
      <formula>3.49</formula>
    </cfRule>
    <cfRule type="cellIs" dxfId="270" priority="85" operator="between">
      <formula>3.5</formula>
      <formula>3.99</formula>
    </cfRule>
    <cfRule type="cellIs" dxfId="269" priority="86" operator="between">
      <formula>4</formula>
      <formula>4.49</formula>
    </cfRule>
    <cfRule type="cellIs" dxfId="268" priority="87" operator="between">
      <formula>4.5</formula>
      <formula>4.99</formula>
    </cfRule>
    <cfRule type="cellIs" dxfId="267" priority="88" operator="equal">
      <formula>5</formula>
    </cfRule>
  </conditionalFormatting>
  <conditionalFormatting sqref="J4">
    <cfRule type="cellIs" dxfId="266" priority="100" operator="equal">
      <formula>0</formula>
    </cfRule>
    <cfRule type="cellIs" dxfId="265" priority="101" operator="between">
      <formula>0.01</formula>
      <formula>0.99</formula>
    </cfRule>
    <cfRule type="cellIs" dxfId="264" priority="102" operator="between">
      <formula>1</formula>
      <formula>1.49</formula>
    </cfRule>
    <cfRule type="cellIs" dxfId="263" priority="103" operator="between">
      <formula>1.5</formula>
      <formula>1.99</formula>
    </cfRule>
    <cfRule type="cellIs" dxfId="262" priority="104" operator="between">
      <formula>2</formula>
      <formula>2.49</formula>
    </cfRule>
    <cfRule type="cellIs" dxfId="261" priority="105" operator="between">
      <formula>2.5</formula>
      <formula>2.99</formula>
    </cfRule>
    <cfRule type="cellIs" dxfId="260" priority="106" operator="between">
      <formula>3</formula>
      <formula>3.49</formula>
    </cfRule>
    <cfRule type="cellIs" dxfId="259" priority="107" operator="between">
      <formula>3.5</formula>
      <formula>3.99</formula>
    </cfRule>
    <cfRule type="cellIs" dxfId="258" priority="108" operator="between">
      <formula>4</formula>
      <formula>4.49</formula>
    </cfRule>
    <cfRule type="cellIs" dxfId="257" priority="109" operator="between">
      <formula>4.5</formula>
      <formula>4.99</formula>
    </cfRule>
    <cfRule type="cellIs" dxfId="256" priority="110" operator="equal">
      <formula>5</formula>
    </cfRule>
    <cfRule type="cellIs" dxfId="255" priority="112" operator="between">
      <formula>0.01</formula>
      <formula>0.99</formula>
    </cfRule>
    <cfRule type="cellIs" dxfId="254" priority="113" operator="between">
      <formula>1</formula>
      <formula>1.49</formula>
    </cfRule>
    <cfRule type="cellIs" dxfId="253" priority="114" operator="between">
      <formula>1.5</formula>
      <formula>1.99</formula>
    </cfRule>
    <cfRule type="cellIs" dxfId="252" priority="115" operator="between">
      <formula>2</formula>
      <formula>2.49</formula>
    </cfRule>
    <cfRule type="cellIs" dxfId="251" priority="116" operator="between">
      <formula>2.5</formula>
      <formula>2.99</formula>
    </cfRule>
    <cfRule type="cellIs" dxfId="250" priority="117" operator="between">
      <formula>3</formula>
      <formula>3.49</formula>
    </cfRule>
    <cfRule type="cellIs" dxfId="249" priority="118" operator="between">
      <formula>3.5</formula>
      <formula>3.99</formula>
    </cfRule>
    <cfRule type="cellIs" dxfId="248" priority="119" operator="between">
      <formula>4</formula>
      <formula>4.49</formula>
    </cfRule>
    <cfRule type="cellIs" dxfId="247" priority="120" operator="between">
      <formula>4.5</formula>
      <formula>4.99</formula>
    </cfRule>
  </conditionalFormatting>
  <conditionalFormatting sqref="L4">
    <cfRule type="cellIs" dxfId="246" priority="89" operator="equal">
      <formula>0</formula>
    </cfRule>
    <cfRule type="cellIs" dxfId="245" priority="90" operator="between">
      <formula>0.01</formula>
      <formula>0.99</formula>
    </cfRule>
    <cfRule type="cellIs" dxfId="244" priority="91" operator="between">
      <formula>1</formula>
      <formula>1.49</formula>
    </cfRule>
    <cfRule type="cellIs" dxfId="243" priority="92" operator="between">
      <formula>1.5</formula>
      <formula>1.99</formula>
    </cfRule>
    <cfRule type="cellIs" dxfId="242" priority="93" operator="between">
      <formula>2</formula>
      <formula>2.49</formula>
    </cfRule>
    <cfRule type="cellIs" dxfId="241" priority="94" operator="between">
      <formula>2.5</formula>
      <formula>2.99</formula>
    </cfRule>
    <cfRule type="cellIs" dxfId="240" priority="95" operator="between">
      <formula>3</formula>
      <formula>3.49</formula>
    </cfRule>
    <cfRule type="cellIs" dxfId="239" priority="96" operator="between">
      <formula>3.5</formula>
      <formula>3.99</formula>
    </cfRule>
    <cfRule type="cellIs" dxfId="238" priority="97" operator="between">
      <formula>4</formula>
      <formula>4.49</formula>
    </cfRule>
    <cfRule type="cellIs" dxfId="237" priority="98" operator="between">
      <formula>4.5</formula>
      <formula>4.99</formula>
    </cfRule>
    <cfRule type="cellIs" dxfId="236" priority="99" operator="equal">
      <formula>5</formula>
    </cfRule>
    <cfRule type="cellIs" dxfId="235" priority="134" operator="between">
      <formula>0.01</formula>
      <formula>0.99</formula>
    </cfRule>
    <cfRule type="cellIs" dxfId="234" priority="135" operator="between">
      <formula>1</formula>
      <formula>1.49</formula>
    </cfRule>
    <cfRule type="cellIs" dxfId="233" priority="136" operator="between">
      <formula>1.5</formula>
      <formula>1.99</formula>
    </cfRule>
    <cfRule type="cellIs" dxfId="232" priority="137" operator="between">
      <formula>2</formula>
      <formula>2.49</formula>
    </cfRule>
    <cfRule type="cellIs" dxfId="231" priority="138" operator="between">
      <formula>2.5</formula>
      <formula>2.99</formula>
    </cfRule>
    <cfRule type="cellIs" dxfId="230" priority="139" operator="between">
      <formula>3</formula>
      <formula>3.49</formula>
    </cfRule>
    <cfRule type="cellIs" dxfId="229" priority="140" operator="between">
      <formula>3.5</formula>
      <formula>3.99</formula>
    </cfRule>
    <cfRule type="cellIs" dxfId="228" priority="141" operator="between">
      <formula>4</formula>
      <formula>4.49</formula>
    </cfRule>
    <cfRule type="cellIs" dxfId="227" priority="142" operator="between">
      <formula>4.5</formula>
      <formula>4.99</formula>
    </cfRule>
  </conditionalFormatting>
  <conditionalFormatting sqref="N4 P4 J7 L7 N7 P7 J10 L10 N10 P10 J13 L13 N13 P13 J16 L16 N16 P16 H19 J19 L19 N19 P19">
    <cfRule type="cellIs" dxfId="226" priority="122" operator="equal">
      <formula>0</formula>
    </cfRule>
    <cfRule type="cellIs" dxfId="225" priority="123" operator="between">
      <formula>0.01</formula>
      <formula>0.99</formula>
    </cfRule>
    <cfRule type="cellIs" dxfId="224" priority="124" operator="between">
      <formula>1</formula>
      <formula>1.49</formula>
    </cfRule>
    <cfRule type="cellIs" dxfId="223" priority="125" operator="between">
      <formula>1.5</formula>
      <formula>1.99</formula>
    </cfRule>
    <cfRule type="cellIs" dxfId="222" priority="126" operator="between">
      <formula>2</formula>
      <formula>2.49</formula>
    </cfRule>
    <cfRule type="cellIs" dxfId="221" priority="127" operator="between">
      <formula>2.5</formula>
      <formula>2.99</formula>
    </cfRule>
    <cfRule type="cellIs" dxfId="220" priority="128" operator="between">
      <formula>3</formula>
      <formula>3.49</formula>
    </cfRule>
    <cfRule type="cellIs" dxfId="219" priority="129" operator="between">
      <formula>3.5</formula>
      <formula>3.99</formula>
    </cfRule>
    <cfRule type="cellIs" dxfId="218" priority="130" operator="between">
      <formula>4</formula>
      <formula>4.49</formula>
    </cfRule>
    <cfRule type="cellIs" dxfId="217" priority="131" operator="between">
      <formula>4.5</formula>
      <formula>4.99</formula>
    </cfRule>
    <cfRule type="cellIs" dxfId="216" priority="132" operator="equal">
      <formula>5</formula>
    </cfRule>
  </conditionalFormatting>
  <conditionalFormatting sqref="P21">
    <cfRule type="cellIs" dxfId="215" priority="67" operator="equal">
      <formula>0</formula>
    </cfRule>
    <cfRule type="cellIs" dxfId="214" priority="68" operator="between">
      <formula>0.01</formula>
      <formula>0.99</formula>
    </cfRule>
    <cfRule type="cellIs" dxfId="213" priority="69" operator="between">
      <formula>1</formula>
      <formula>1.49</formula>
    </cfRule>
    <cfRule type="cellIs" dxfId="212" priority="70" operator="between">
      <formula>1.5</formula>
      <formula>1.99</formula>
    </cfRule>
    <cfRule type="cellIs" dxfId="211" priority="71" operator="between">
      <formula>2</formula>
      <formula>2.49</formula>
    </cfRule>
    <cfRule type="cellIs" dxfId="210" priority="72" operator="between">
      <formula>2.5</formula>
      <formula>2.99</formula>
    </cfRule>
    <cfRule type="cellIs" dxfId="209" priority="73" operator="between">
      <formula>3</formula>
      <formula>3.49</formula>
    </cfRule>
    <cfRule type="cellIs" dxfId="208" priority="74" operator="between">
      <formula>3.5</formula>
      <formula>3.99</formula>
    </cfRule>
    <cfRule type="cellIs" dxfId="207" priority="75" operator="between">
      <formula>4</formula>
      <formula>4.49</formula>
    </cfRule>
    <cfRule type="cellIs" dxfId="206" priority="76" operator="between">
      <formula>4.5</formula>
      <formula>4.99</formula>
    </cfRule>
    <cfRule type="cellIs" dxfId="205" priority="77" operator="equal">
      <formula>5</formula>
    </cfRule>
  </conditionalFormatting>
  <conditionalFormatting sqref="S4">
    <cfRule type="cellIs" dxfId="204" priority="56" operator="equal">
      <formula>0</formula>
    </cfRule>
    <cfRule type="cellIs" dxfId="203" priority="57" operator="between">
      <formula>0.01</formula>
      <formula>0.99</formula>
    </cfRule>
    <cfRule type="cellIs" dxfId="202" priority="58" operator="between">
      <formula>1</formula>
      <formula>1.49</formula>
    </cfRule>
    <cfRule type="cellIs" dxfId="201" priority="59" operator="between">
      <formula>1.5</formula>
      <formula>1.99</formula>
    </cfRule>
    <cfRule type="cellIs" dxfId="200" priority="60" operator="between">
      <formula>2</formula>
      <formula>2.49</formula>
    </cfRule>
    <cfRule type="cellIs" dxfId="199" priority="61" operator="between">
      <formula>2.5</formula>
      <formula>2.99</formula>
    </cfRule>
    <cfRule type="cellIs" dxfId="198" priority="62" operator="between">
      <formula>3</formula>
      <formula>3.49</formula>
    </cfRule>
    <cfRule type="cellIs" dxfId="197" priority="63" operator="between">
      <formula>3.5</formula>
      <formula>3.99</formula>
    </cfRule>
    <cfRule type="cellIs" dxfId="196" priority="64" operator="between">
      <formula>4</formula>
      <formula>4.49</formula>
    </cfRule>
    <cfRule type="cellIs" dxfId="195" priority="65" operator="between">
      <formula>4.5</formula>
      <formula>4.99</formula>
    </cfRule>
    <cfRule type="cellIs" dxfId="194" priority="66" operator="equal">
      <formula>5</formula>
    </cfRule>
  </conditionalFormatting>
  <conditionalFormatting sqref="S7">
    <cfRule type="cellIs" dxfId="193" priority="45" operator="equal">
      <formula>0</formula>
    </cfRule>
    <cfRule type="cellIs" dxfId="192" priority="46" operator="between">
      <formula>0.01</formula>
      <formula>0.99</formula>
    </cfRule>
    <cfRule type="cellIs" dxfId="191" priority="47" operator="between">
      <formula>1</formula>
      <formula>1.49</formula>
    </cfRule>
    <cfRule type="cellIs" dxfId="190" priority="48" operator="between">
      <formula>1.5</formula>
      <formula>1.99</formula>
    </cfRule>
    <cfRule type="cellIs" dxfId="189" priority="49" operator="between">
      <formula>2</formula>
      <formula>2.49</formula>
    </cfRule>
    <cfRule type="cellIs" dxfId="188" priority="50" operator="between">
      <formula>2.5</formula>
      <formula>2.99</formula>
    </cfRule>
    <cfRule type="cellIs" dxfId="187" priority="51" operator="between">
      <formula>3</formula>
      <formula>3.49</formula>
    </cfRule>
    <cfRule type="cellIs" dxfId="186" priority="52" operator="between">
      <formula>3.5</formula>
      <formula>3.99</formula>
    </cfRule>
    <cfRule type="cellIs" dxfId="185" priority="53" operator="between">
      <formula>4</formula>
      <formula>4.49</formula>
    </cfRule>
    <cfRule type="cellIs" dxfId="184" priority="54" operator="between">
      <formula>4.5</formula>
      <formula>4.99</formula>
    </cfRule>
    <cfRule type="cellIs" dxfId="183" priority="55" operator="equal">
      <formula>5</formula>
    </cfRule>
  </conditionalFormatting>
  <conditionalFormatting sqref="S10">
    <cfRule type="cellIs" dxfId="182" priority="34" operator="equal">
      <formula>0</formula>
    </cfRule>
    <cfRule type="cellIs" dxfId="181" priority="35" operator="between">
      <formula>0.01</formula>
      <formula>0.99</formula>
    </cfRule>
    <cfRule type="cellIs" dxfId="180" priority="36" operator="between">
      <formula>1</formula>
      <formula>1.49</formula>
    </cfRule>
    <cfRule type="cellIs" dxfId="179" priority="37" operator="between">
      <formula>1.5</formula>
      <formula>1.99</formula>
    </cfRule>
    <cfRule type="cellIs" dxfId="178" priority="38" operator="between">
      <formula>2</formula>
      <formula>2.49</formula>
    </cfRule>
    <cfRule type="cellIs" dxfId="177" priority="39" operator="between">
      <formula>2.5</formula>
      <formula>2.99</formula>
    </cfRule>
    <cfRule type="cellIs" dxfId="176" priority="40" operator="between">
      <formula>3</formula>
      <formula>3.49</formula>
    </cfRule>
    <cfRule type="cellIs" dxfId="175" priority="41" operator="between">
      <formula>3.5</formula>
      <formula>3.99</formula>
    </cfRule>
    <cfRule type="cellIs" dxfId="174" priority="42" operator="between">
      <formula>4</formula>
      <formula>4.49</formula>
    </cfRule>
    <cfRule type="cellIs" dxfId="173" priority="43" operator="between">
      <formula>4.5</formula>
      <formula>4.99</formula>
    </cfRule>
    <cfRule type="cellIs" dxfId="172" priority="44" operator="equal">
      <formula>5</formula>
    </cfRule>
  </conditionalFormatting>
  <conditionalFormatting sqref="S13">
    <cfRule type="cellIs" dxfId="171" priority="23" operator="equal">
      <formula>0</formula>
    </cfRule>
    <cfRule type="cellIs" dxfId="170" priority="24" operator="between">
      <formula>0.01</formula>
      <formula>0.99</formula>
    </cfRule>
    <cfRule type="cellIs" dxfId="169" priority="25" operator="between">
      <formula>1</formula>
      <formula>1.49</formula>
    </cfRule>
    <cfRule type="cellIs" dxfId="168" priority="26" operator="between">
      <formula>1.5</formula>
      <formula>1.99</formula>
    </cfRule>
    <cfRule type="cellIs" dxfId="167" priority="27" operator="between">
      <formula>2</formula>
      <formula>2.49</formula>
    </cfRule>
    <cfRule type="cellIs" dxfId="166" priority="28" operator="between">
      <formula>2.5</formula>
      <formula>2.99</formula>
    </cfRule>
    <cfRule type="cellIs" dxfId="165" priority="29" operator="between">
      <formula>3</formula>
      <formula>3.49</formula>
    </cfRule>
    <cfRule type="cellIs" dxfId="164" priority="30" operator="between">
      <formula>3.5</formula>
      <formula>3.99</formula>
    </cfRule>
    <cfRule type="cellIs" dxfId="163" priority="31" operator="between">
      <formula>4</formula>
      <formula>4.49</formula>
    </cfRule>
    <cfRule type="cellIs" dxfId="162" priority="32" operator="between">
      <formula>4.5</formula>
      <formula>4.99</formula>
    </cfRule>
    <cfRule type="cellIs" dxfId="161" priority="33" operator="equal">
      <formula>5</formula>
    </cfRule>
  </conditionalFormatting>
  <conditionalFormatting sqref="S16">
    <cfRule type="cellIs" dxfId="160" priority="12" operator="equal">
      <formula>0</formula>
    </cfRule>
    <cfRule type="cellIs" dxfId="159" priority="13" operator="between">
      <formula>0.01</formula>
      <formula>0.99</formula>
    </cfRule>
    <cfRule type="cellIs" dxfId="158" priority="14" operator="between">
      <formula>1</formula>
      <formula>1.49</formula>
    </cfRule>
    <cfRule type="cellIs" dxfId="157" priority="15" operator="between">
      <formula>1.5</formula>
      <formula>1.99</formula>
    </cfRule>
    <cfRule type="cellIs" dxfId="156" priority="16" operator="between">
      <formula>2</formula>
      <formula>2.49</formula>
    </cfRule>
    <cfRule type="cellIs" dxfId="155" priority="17" operator="between">
      <formula>2.5</formula>
      <formula>2.99</formula>
    </cfRule>
    <cfRule type="cellIs" dxfId="154" priority="18" operator="between">
      <formula>3</formula>
      <formula>3.49</formula>
    </cfRule>
    <cfRule type="cellIs" dxfId="153" priority="19" operator="between">
      <formula>3.5</formula>
      <formula>3.99</formula>
    </cfRule>
    <cfRule type="cellIs" dxfId="152" priority="20" operator="between">
      <formula>4</formula>
      <formula>4.49</formula>
    </cfRule>
    <cfRule type="cellIs" dxfId="151" priority="21" operator="between">
      <formula>4.5</formula>
      <formula>4.99</formula>
    </cfRule>
    <cfRule type="cellIs" dxfId="150" priority="22" operator="equal">
      <formula>5</formula>
    </cfRule>
  </conditionalFormatting>
  <conditionalFormatting sqref="S19">
    <cfRule type="cellIs" dxfId="149" priority="1" operator="equal">
      <formula>0</formula>
    </cfRule>
    <cfRule type="cellIs" dxfId="148" priority="2" operator="between">
      <formula>0.01</formula>
      <formula>0.99</formula>
    </cfRule>
    <cfRule type="cellIs" dxfId="147" priority="3" operator="between">
      <formula>1</formula>
      <formula>1.49</formula>
    </cfRule>
    <cfRule type="cellIs" dxfId="146" priority="4" operator="between">
      <formula>1.5</formula>
      <formula>1.99</formula>
    </cfRule>
    <cfRule type="cellIs" dxfId="145" priority="5" operator="between">
      <formula>2</formula>
      <formula>2.49</formula>
    </cfRule>
    <cfRule type="cellIs" dxfId="144" priority="6" operator="between">
      <formula>2.5</formula>
      <formula>2.99</formula>
    </cfRule>
    <cfRule type="cellIs" dxfId="143" priority="7" operator="between">
      <formula>3</formula>
      <formula>3.49</formula>
    </cfRule>
    <cfRule type="cellIs" dxfId="142" priority="8" operator="between">
      <formula>3.5</formula>
      <formula>3.99</formula>
    </cfRule>
    <cfRule type="cellIs" dxfId="141" priority="9" operator="between">
      <formula>4</formula>
      <formula>4.49</formula>
    </cfRule>
    <cfRule type="cellIs" dxfId="140" priority="10" operator="between">
      <formula>4.5</formula>
      <formula>4.99</formula>
    </cfRule>
    <cfRule type="cellIs" dxfId="139" priority="11" operator="equal">
      <formula>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E46-7A61-4183-A523-F412E31C9EB6}">
  <dimension ref="A1:X33"/>
  <sheetViews>
    <sheetView zoomScaleNormal="100" workbookViewId="0">
      <selection activeCell="J19" sqref="J19"/>
    </sheetView>
  </sheetViews>
  <sheetFormatPr defaultRowHeight="15" x14ac:dyDescent="0.25"/>
  <cols>
    <col min="1" max="1" width="5.7109375" customWidth="1"/>
    <col min="2" max="2" width="29.7109375" customWidth="1"/>
    <col min="3" max="3" width="3.7109375" customWidth="1"/>
    <col min="4" max="5" width="2.28515625" customWidth="1"/>
    <col min="6" max="6" width="18.7109375" customWidth="1"/>
    <col min="7" max="7" width="2.28515625" customWidth="1"/>
    <col min="8" max="8" width="18.7109375" customWidth="1"/>
    <col min="9" max="9" width="2.28515625" customWidth="1"/>
    <col min="10" max="10" width="18.7109375" customWidth="1"/>
    <col min="11" max="11" width="2.28515625" customWidth="1"/>
    <col min="12" max="12" width="18.7109375" customWidth="1"/>
    <col min="13" max="13" width="2.28515625" customWidth="1"/>
    <col min="14" max="14" width="18.7109375" customWidth="1"/>
    <col min="15" max="15" width="2.28515625" customWidth="1"/>
    <col min="16" max="16" width="18.7109375" customWidth="1"/>
    <col min="17" max="17" width="2.28515625" customWidth="1"/>
    <col min="18" max="18" width="2.5703125" customWidth="1"/>
    <col min="19" max="19" width="9.5703125" style="2" customWidth="1"/>
    <col min="20" max="20" width="5.7109375" customWidth="1"/>
    <col min="21" max="21" width="145.28515625" customWidth="1"/>
    <col min="23" max="23" width="20.5703125" customWidth="1"/>
    <col min="24" max="24" width="104" customWidth="1"/>
  </cols>
  <sheetData>
    <row r="1" spans="1:24" ht="1.35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</row>
    <row r="2" spans="1:24" ht="10.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4"/>
      <c r="T2" s="4"/>
      <c r="U2" s="3"/>
    </row>
    <row r="3" spans="1:24" ht="47.45" customHeight="1" x14ac:dyDescent="0.25">
      <c r="A3" s="3"/>
      <c r="B3" s="79" t="s">
        <v>3</v>
      </c>
      <c r="C3" s="3"/>
      <c r="D3" s="81"/>
      <c r="E3" s="83"/>
      <c r="F3" s="83"/>
      <c r="G3" s="83"/>
      <c r="H3" s="6" t="s">
        <v>8</v>
      </c>
      <c r="I3" s="25"/>
      <c r="J3" s="6" t="s">
        <v>9</v>
      </c>
      <c r="K3" s="83"/>
      <c r="L3" s="6" t="s">
        <v>10</v>
      </c>
      <c r="M3" s="83"/>
      <c r="N3" s="6" t="s">
        <v>2</v>
      </c>
      <c r="O3" s="83"/>
      <c r="P3" s="6" t="s">
        <v>11</v>
      </c>
      <c r="Q3" s="69"/>
      <c r="R3" s="3"/>
      <c r="S3" s="14"/>
      <c r="T3" s="4"/>
      <c r="U3" s="3"/>
    </row>
    <row r="4" spans="1:24" ht="18.75" x14ac:dyDescent="0.25">
      <c r="A4" s="3"/>
      <c r="B4" s="80"/>
      <c r="C4" s="3"/>
      <c r="D4" s="82"/>
      <c r="E4" s="84"/>
      <c r="F4" s="84"/>
      <c r="G4" s="84"/>
      <c r="H4" s="7">
        <v>2.5</v>
      </c>
      <c r="I4" s="26"/>
      <c r="J4" s="7">
        <v>3</v>
      </c>
      <c r="K4" s="84"/>
      <c r="L4" s="7">
        <v>5</v>
      </c>
      <c r="M4" s="84"/>
      <c r="N4" s="7">
        <v>1.5</v>
      </c>
      <c r="O4" s="84"/>
      <c r="P4" s="7">
        <v>3.5</v>
      </c>
      <c r="Q4" s="70"/>
      <c r="R4" s="3"/>
      <c r="S4" s="7">
        <f>AVERAGE(H4,J4,L4,N4,P4)</f>
        <v>3.1</v>
      </c>
      <c r="T4" s="12"/>
      <c r="U4" s="3"/>
    </row>
    <row r="5" spans="1:24" ht="5.0999999999999996" customHeight="1" x14ac:dyDescent="0.4">
      <c r="A5" s="3"/>
      <c r="B5" s="9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16"/>
      <c r="T5" s="4"/>
      <c r="U5" s="3"/>
    </row>
    <row r="6" spans="1:24" ht="46.5" customHeight="1" x14ac:dyDescent="0.3">
      <c r="A6" s="3"/>
      <c r="B6" s="71" t="s">
        <v>4</v>
      </c>
      <c r="C6" s="3"/>
      <c r="D6" s="73"/>
      <c r="E6" s="73"/>
      <c r="F6" s="73"/>
      <c r="G6" s="73"/>
      <c r="H6" s="73"/>
      <c r="I6" s="74"/>
      <c r="J6" s="6" t="s">
        <v>12</v>
      </c>
      <c r="K6" s="75"/>
      <c r="L6" s="6" t="s">
        <v>13</v>
      </c>
      <c r="M6" s="75"/>
      <c r="N6" s="22" t="s">
        <v>14</v>
      </c>
      <c r="O6" s="75"/>
      <c r="P6" s="6" t="s">
        <v>15</v>
      </c>
      <c r="Q6" s="77"/>
      <c r="R6" s="3"/>
      <c r="S6" s="16"/>
      <c r="T6" s="4"/>
      <c r="U6" s="3"/>
    </row>
    <row r="7" spans="1:24" ht="25.15" customHeight="1" x14ac:dyDescent="0.25">
      <c r="A7" s="3"/>
      <c r="B7" s="72"/>
      <c r="C7" s="3"/>
      <c r="D7" s="73"/>
      <c r="E7" s="73"/>
      <c r="F7" s="73"/>
      <c r="G7" s="73"/>
      <c r="H7" s="73"/>
      <c r="I7" s="74"/>
      <c r="J7" s="7">
        <v>4</v>
      </c>
      <c r="K7" s="76"/>
      <c r="L7" s="7">
        <v>2.5</v>
      </c>
      <c r="M7" s="76"/>
      <c r="N7" s="7">
        <v>3.5</v>
      </c>
      <c r="O7" s="76"/>
      <c r="P7" s="7">
        <v>2.5</v>
      </c>
      <c r="Q7" s="78"/>
      <c r="R7" s="3"/>
      <c r="S7" s="7">
        <f>AVERAGE(J7,L7,N7,P7)</f>
        <v>3.125</v>
      </c>
      <c r="T7" s="13"/>
      <c r="U7" s="3"/>
    </row>
    <row r="8" spans="1:24" ht="5.0999999999999996" customHeight="1" x14ac:dyDescent="0.4">
      <c r="A8" s="3"/>
      <c r="B8" s="9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"/>
      <c r="S8" s="16"/>
      <c r="T8" s="4"/>
      <c r="U8" s="3"/>
    </row>
    <row r="9" spans="1:24" ht="40.15" customHeight="1" x14ac:dyDescent="0.3">
      <c r="A9" s="3"/>
      <c r="B9" s="55" t="s">
        <v>5</v>
      </c>
      <c r="C9" s="3"/>
      <c r="D9" s="57"/>
      <c r="E9" s="57"/>
      <c r="F9" s="57"/>
      <c r="G9" s="57"/>
      <c r="H9" s="57"/>
      <c r="I9" s="58"/>
      <c r="J9" s="22" t="s">
        <v>16</v>
      </c>
      <c r="K9" s="59"/>
      <c r="L9" s="6" t="s">
        <v>17</v>
      </c>
      <c r="M9" s="27"/>
      <c r="N9" s="22" t="s">
        <v>18</v>
      </c>
      <c r="O9" s="27"/>
      <c r="P9" s="6" t="s">
        <v>19</v>
      </c>
      <c r="Q9" s="61"/>
      <c r="R9" s="3"/>
      <c r="S9" s="16"/>
      <c r="T9" s="4"/>
      <c r="U9" s="3"/>
    </row>
    <row r="10" spans="1:24" ht="25.15" customHeight="1" x14ac:dyDescent="0.25">
      <c r="A10" s="3"/>
      <c r="B10" s="56"/>
      <c r="C10" s="3"/>
      <c r="D10" s="57"/>
      <c r="E10" s="57"/>
      <c r="F10" s="57"/>
      <c r="G10" s="57"/>
      <c r="H10" s="57"/>
      <c r="I10" s="58"/>
      <c r="J10" s="7">
        <v>3.5</v>
      </c>
      <c r="K10" s="60"/>
      <c r="L10" s="7">
        <v>4.5</v>
      </c>
      <c r="M10" s="28"/>
      <c r="N10" s="7">
        <v>2.5</v>
      </c>
      <c r="O10" s="28"/>
      <c r="P10" s="7">
        <v>3</v>
      </c>
      <c r="Q10" s="62"/>
      <c r="R10" s="3"/>
      <c r="S10" s="7">
        <f>AVERAGE(J10,L10,N10,P10)</f>
        <v>3.375</v>
      </c>
      <c r="T10" s="13"/>
      <c r="U10" s="3"/>
    </row>
    <row r="11" spans="1:24" ht="3" customHeight="1" x14ac:dyDescent="0.4">
      <c r="A11" s="3"/>
      <c r="B11" s="9"/>
      <c r="C11" s="3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4"/>
      <c r="Q11" s="5"/>
      <c r="R11" s="11"/>
      <c r="S11" s="17"/>
      <c r="T11" s="5"/>
      <c r="U11" s="3"/>
    </row>
    <row r="12" spans="1:24" ht="40.15" customHeight="1" x14ac:dyDescent="0.3">
      <c r="A12" s="3"/>
      <c r="B12" s="63" t="s">
        <v>0</v>
      </c>
      <c r="C12" s="3"/>
      <c r="D12" s="65"/>
      <c r="E12" s="65"/>
      <c r="F12" s="65"/>
      <c r="G12" s="65"/>
      <c r="H12" s="65"/>
      <c r="I12" s="66"/>
      <c r="J12" s="31" t="s">
        <v>20</v>
      </c>
      <c r="K12" s="67"/>
      <c r="L12" s="6" t="s">
        <v>21</v>
      </c>
      <c r="M12" s="67"/>
      <c r="N12" s="22" t="s">
        <v>22</v>
      </c>
      <c r="O12" s="67"/>
      <c r="P12" s="22" t="s">
        <v>23</v>
      </c>
      <c r="Q12" s="67"/>
      <c r="R12" s="3"/>
      <c r="S12" s="16"/>
      <c r="T12" s="4"/>
      <c r="U12" s="3"/>
    </row>
    <row r="13" spans="1:24" ht="25.15" customHeight="1" x14ac:dyDescent="0.25">
      <c r="A13" s="3"/>
      <c r="B13" s="64"/>
      <c r="C13" s="3"/>
      <c r="D13" s="65"/>
      <c r="E13" s="65"/>
      <c r="F13" s="65"/>
      <c r="G13" s="65"/>
      <c r="H13" s="65"/>
      <c r="I13" s="66"/>
      <c r="J13" s="32">
        <v>1</v>
      </c>
      <c r="K13" s="68"/>
      <c r="L13" s="7">
        <v>3.5</v>
      </c>
      <c r="M13" s="68"/>
      <c r="N13" s="7">
        <v>2.5</v>
      </c>
      <c r="O13" s="68"/>
      <c r="P13" s="7">
        <v>2</v>
      </c>
      <c r="Q13" s="68"/>
      <c r="R13" s="3"/>
      <c r="S13" s="7">
        <f>AVERAGE(J13,L13,N13,P13)</f>
        <v>2.25</v>
      </c>
      <c r="T13" s="13"/>
      <c r="U13" s="3"/>
    </row>
    <row r="14" spans="1:24" ht="5.0999999999999996" customHeight="1" x14ac:dyDescent="0.4">
      <c r="A14" s="3"/>
      <c r="B14" s="9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3"/>
      <c r="S14" s="16"/>
      <c r="T14" s="4"/>
      <c r="U14" s="3"/>
      <c r="V14" s="19"/>
      <c r="W14" s="19"/>
      <c r="X14" s="1"/>
    </row>
    <row r="15" spans="1:24" ht="40.15" customHeight="1" x14ac:dyDescent="0.3">
      <c r="A15" s="3"/>
      <c r="B15" s="43" t="s">
        <v>7</v>
      </c>
      <c r="C15" s="3"/>
      <c r="D15" s="45"/>
      <c r="E15" s="47"/>
      <c r="F15" s="47"/>
      <c r="G15" s="47"/>
      <c r="H15" s="47"/>
      <c r="I15" s="47"/>
      <c r="J15" s="8" t="s">
        <v>24</v>
      </c>
      <c r="K15" s="47"/>
      <c r="L15" s="6" t="s">
        <v>25</v>
      </c>
      <c r="M15" s="29"/>
      <c r="N15" s="22" t="s">
        <v>26</v>
      </c>
      <c r="O15" s="29"/>
      <c r="P15" s="22" t="s">
        <v>27</v>
      </c>
      <c r="Q15" s="49"/>
      <c r="R15" s="3"/>
      <c r="S15" s="16"/>
      <c r="T15" s="4"/>
      <c r="U15" s="3"/>
      <c r="V15" s="3"/>
      <c r="W15" s="3"/>
    </row>
    <row r="16" spans="1:24" ht="25.15" customHeight="1" x14ac:dyDescent="0.25">
      <c r="A16" s="3"/>
      <c r="B16" s="44"/>
      <c r="C16" s="3"/>
      <c r="D16" s="46"/>
      <c r="E16" s="48"/>
      <c r="F16" s="48"/>
      <c r="G16" s="48"/>
      <c r="H16" s="48"/>
      <c r="I16" s="48"/>
      <c r="J16" s="7">
        <v>1</v>
      </c>
      <c r="K16" s="48"/>
      <c r="L16" s="7">
        <v>2.5</v>
      </c>
      <c r="M16" s="30"/>
      <c r="N16" s="7">
        <v>2</v>
      </c>
      <c r="O16" s="30"/>
      <c r="P16" s="7">
        <v>3.5</v>
      </c>
      <c r="Q16" s="50"/>
      <c r="R16" s="3"/>
      <c r="S16" s="7">
        <f>AVERAGE(J16,L16,N16,P16)</f>
        <v>2.25</v>
      </c>
      <c r="T16" s="13"/>
      <c r="U16" s="3"/>
      <c r="V16" s="3"/>
      <c r="W16" s="3"/>
    </row>
    <row r="17" spans="1:23" ht="5.0999999999999996" customHeight="1" x14ac:dyDescent="0.4">
      <c r="A17" s="3"/>
      <c r="B17" s="9"/>
      <c r="C17" s="3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3"/>
      <c r="S17" s="16"/>
      <c r="T17" s="4"/>
      <c r="U17" s="3"/>
      <c r="V17" s="3"/>
      <c r="W17" s="3"/>
    </row>
    <row r="18" spans="1:23" ht="54" customHeight="1" x14ac:dyDescent="0.3">
      <c r="A18" s="3"/>
      <c r="B18" s="51" t="s">
        <v>6</v>
      </c>
      <c r="C18" s="3"/>
      <c r="D18" s="53"/>
      <c r="E18" s="38"/>
      <c r="F18" s="38"/>
      <c r="G18" s="38"/>
      <c r="H18" s="8" t="s">
        <v>28</v>
      </c>
      <c r="I18" s="38"/>
      <c r="J18" s="6" t="s">
        <v>29</v>
      </c>
      <c r="K18" s="38"/>
      <c r="L18" s="6" t="s">
        <v>30</v>
      </c>
      <c r="M18" s="38"/>
      <c r="N18" s="37" t="s">
        <v>31</v>
      </c>
      <c r="O18" s="38"/>
      <c r="P18" s="6" t="s">
        <v>32</v>
      </c>
      <c r="Q18" s="40"/>
      <c r="R18" s="3"/>
      <c r="S18" s="16"/>
      <c r="T18" s="4"/>
      <c r="U18" s="3"/>
    </row>
    <row r="19" spans="1:23" ht="25.15" customHeight="1" x14ac:dyDescent="0.3">
      <c r="A19" s="3"/>
      <c r="B19" s="52"/>
      <c r="C19" s="3"/>
      <c r="D19" s="54"/>
      <c r="E19" s="39"/>
      <c r="F19" s="39"/>
      <c r="G19" s="39"/>
      <c r="H19" s="101">
        <v>1.5</v>
      </c>
      <c r="I19" s="39"/>
      <c r="J19" s="101">
        <v>5</v>
      </c>
      <c r="K19" s="39"/>
      <c r="L19" s="101">
        <v>1</v>
      </c>
      <c r="M19" s="39"/>
      <c r="N19" s="101">
        <v>2</v>
      </c>
      <c r="O19" s="39"/>
      <c r="P19" s="101">
        <v>2.5</v>
      </c>
      <c r="Q19" s="41"/>
      <c r="R19" s="3"/>
      <c r="S19" s="101">
        <f>AVERAGE(J19,L19,P19)</f>
        <v>2.8333333333333335</v>
      </c>
      <c r="T19" s="13"/>
      <c r="U19" s="3"/>
      <c r="V19" s="3"/>
      <c r="W19" s="18"/>
    </row>
    <row r="20" spans="1:23" s="110" customFormat="1" ht="5.0999999999999996" customHeight="1" x14ac:dyDescent="0.4">
      <c r="A20" s="105"/>
      <c r="B20" s="106"/>
      <c r="C20" s="105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5"/>
      <c r="S20" s="108"/>
      <c r="T20" s="109"/>
      <c r="U20" s="105"/>
      <c r="V20" s="105"/>
      <c r="W20" s="105"/>
    </row>
    <row r="21" spans="1:23" ht="43.5" customHeight="1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02" t="s">
        <v>1</v>
      </c>
      <c r="O21" s="103"/>
      <c r="P21" s="104">
        <f>SUM(S4+S7+S10+S13+S16+S19)/6</f>
        <v>2.8222222222222224</v>
      </c>
      <c r="Q21" s="3"/>
      <c r="R21" s="3"/>
      <c r="S21" s="15"/>
      <c r="T21" s="3"/>
      <c r="U21" s="3"/>
    </row>
    <row r="22" spans="1:23" ht="1.3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Q22" s="3"/>
      <c r="R22" s="3"/>
      <c r="S22" s="15"/>
      <c r="T22" s="3"/>
      <c r="U22" s="3"/>
    </row>
    <row r="23" spans="1:23" ht="152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0"/>
      <c r="O23" s="20"/>
      <c r="P23" s="21"/>
      <c r="Q23" s="3"/>
      <c r="R23" s="3"/>
      <c r="S23" s="15"/>
      <c r="T23" s="3"/>
      <c r="U23" s="3"/>
    </row>
    <row r="24" spans="1:23" ht="92.25" customHeight="1" x14ac:dyDescent="0.25">
      <c r="N24" s="23"/>
      <c r="O24" s="23"/>
      <c r="P24" s="24"/>
    </row>
    <row r="25" spans="1:23" ht="60.75" customHeight="1" x14ac:dyDescent="0.25">
      <c r="S25"/>
    </row>
    <row r="26" spans="1:23" ht="20.45" customHeight="1" x14ac:dyDescent="0.25">
      <c r="S26"/>
    </row>
    <row r="27" spans="1:23" ht="3" customHeight="1" x14ac:dyDescent="0.25">
      <c r="S27"/>
    </row>
    <row r="28" spans="1:23" x14ac:dyDescent="0.25">
      <c r="S28"/>
    </row>
    <row r="29" spans="1:23" ht="24" customHeight="1" x14ac:dyDescent="0.25">
      <c r="S29"/>
    </row>
    <row r="30" spans="1:23" ht="3" customHeight="1" x14ac:dyDescent="0.25">
      <c r="S30"/>
    </row>
    <row r="31" spans="1:23" ht="54.6" customHeight="1" x14ac:dyDescent="0.25">
      <c r="S31"/>
    </row>
    <row r="32" spans="1:23" ht="27.75" customHeight="1" x14ac:dyDescent="0.25">
      <c r="S32"/>
    </row>
    <row r="33" spans="19:19" x14ac:dyDescent="0.25">
      <c r="S33"/>
    </row>
  </sheetData>
  <mergeCells count="41">
    <mergeCell ref="B3:B4"/>
    <mergeCell ref="D3:D4"/>
    <mergeCell ref="E3:E4"/>
    <mergeCell ref="F3:F4"/>
    <mergeCell ref="G3:G4"/>
    <mergeCell ref="K3:K4"/>
    <mergeCell ref="M3:M4"/>
    <mergeCell ref="O3:O4"/>
    <mergeCell ref="Q3:Q4"/>
    <mergeCell ref="B6:B7"/>
    <mergeCell ref="D6:I7"/>
    <mergeCell ref="K6:K7"/>
    <mergeCell ref="M6:M7"/>
    <mergeCell ref="O6:O7"/>
    <mergeCell ref="Q6:Q7"/>
    <mergeCell ref="B9:B10"/>
    <mergeCell ref="D9:I10"/>
    <mergeCell ref="K9:K10"/>
    <mergeCell ref="Q9:Q10"/>
    <mergeCell ref="B12:B13"/>
    <mergeCell ref="D12:I13"/>
    <mergeCell ref="K12:K13"/>
    <mergeCell ref="M12:M13"/>
    <mergeCell ref="O12:O13"/>
    <mergeCell ref="Q12:Q13"/>
    <mergeCell ref="Q15:Q16"/>
    <mergeCell ref="B18:B19"/>
    <mergeCell ref="D18:D19"/>
    <mergeCell ref="E18:E19"/>
    <mergeCell ref="F18:F19"/>
    <mergeCell ref="G18:G19"/>
    <mergeCell ref="N21:O21"/>
    <mergeCell ref="B15:B16"/>
    <mergeCell ref="D15:D16"/>
    <mergeCell ref="E15:I16"/>
    <mergeCell ref="K15:K16"/>
    <mergeCell ref="I18:I19"/>
    <mergeCell ref="K18:K19"/>
    <mergeCell ref="M18:M19"/>
    <mergeCell ref="O18:O19"/>
    <mergeCell ref="Q18:Q19"/>
  </mergeCells>
  <conditionalFormatting sqref="H4">
    <cfRule type="cellIs" dxfId="138" priority="78" operator="equal">
      <formula>0</formula>
    </cfRule>
    <cfRule type="cellIs" dxfId="137" priority="79" operator="between">
      <formula>0.01</formula>
      <formula>0.99</formula>
    </cfRule>
    <cfRule type="cellIs" dxfId="136" priority="80" operator="between">
      <formula>1</formula>
      <formula>1.49</formula>
    </cfRule>
    <cfRule type="cellIs" dxfId="135" priority="81" operator="between">
      <formula>1.5</formula>
      <formula>1.99</formula>
    </cfRule>
    <cfRule type="cellIs" dxfId="134" priority="82" operator="between">
      <formula>2</formula>
      <formula>2.49</formula>
    </cfRule>
    <cfRule type="cellIs" dxfId="133" priority="83" operator="between">
      <formula>2.5</formula>
      <formula>2.99</formula>
    </cfRule>
    <cfRule type="cellIs" dxfId="132" priority="84" operator="between">
      <formula>3</formula>
      <formula>3.49</formula>
    </cfRule>
    <cfRule type="cellIs" dxfId="131" priority="85" operator="between">
      <formula>3.5</formula>
      <formula>3.99</formula>
    </cfRule>
    <cfRule type="cellIs" dxfId="130" priority="86" operator="between">
      <formula>4</formula>
      <formula>4.49</formula>
    </cfRule>
    <cfRule type="cellIs" dxfId="129" priority="87" operator="between">
      <formula>4.5</formula>
      <formula>4.99</formula>
    </cfRule>
    <cfRule type="cellIs" dxfId="128" priority="88" operator="equal">
      <formula>5</formula>
    </cfRule>
  </conditionalFormatting>
  <conditionalFormatting sqref="J4">
    <cfRule type="cellIs" dxfId="127" priority="100" operator="equal">
      <formula>0</formula>
    </cfRule>
    <cfRule type="cellIs" dxfId="126" priority="101" operator="between">
      <formula>0.01</formula>
      <formula>0.99</formula>
    </cfRule>
    <cfRule type="cellIs" dxfId="125" priority="102" operator="between">
      <formula>1</formula>
      <formula>1.49</formula>
    </cfRule>
    <cfRule type="cellIs" dxfId="124" priority="103" operator="between">
      <formula>1.5</formula>
      <formula>1.99</formula>
    </cfRule>
    <cfRule type="cellIs" dxfId="123" priority="104" operator="between">
      <formula>2</formula>
      <formula>2.49</formula>
    </cfRule>
    <cfRule type="cellIs" dxfId="122" priority="105" operator="between">
      <formula>2.5</formula>
      <formula>2.99</formula>
    </cfRule>
    <cfRule type="cellIs" dxfId="121" priority="106" operator="between">
      <formula>3</formula>
      <formula>3.49</formula>
    </cfRule>
    <cfRule type="cellIs" dxfId="120" priority="107" operator="between">
      <formula>3.5</formula>
      <formula>3.99</formula>
    </cfRule>
    <cfRule type="cellIs" dxfId="119" priority="108" operator="between">
      <formula>4</formula>
      <formula>4.49</formula>
    </cfRule>
    <cfRule type="cellIs" dxfId="118" priority="109" operator="between">
      <formula>4.5</formula>
      <formula>4.99</formula>
    </cfRule>
    <cfRule type="cellIs" dxfId="117" priority="110" operator="equal">
      <formula>5</formula>
    </cfRule>
    <cfRule type="cellIs" dxfId="116" priority="111" operator="between">
      <formula>0.01</formula>
      <formula>0.99</formula>
    </cfRule>
    <cfRule type="cellIs" dxfId="115" priority="112" operator="between">
      <formula>1</formula>
      <formula>1.49</formula>
    </cfRule>
    <cfRule type="cellIs" dxfId="114" priority="113" operator="between">
      <formula>1.5</formula>
      <formula>1.99</formula>
    </cfRule>
    <cfRule type="cellIs" dxfId="113" priority="114" operator="between">
      <formula>2</formula>
      <formula>2.49</formula>
    </cfRule>
    <cfRule type="cellIs" dxfId="112" priority="115" operator="between">
      <formula>2.5</formula>
      <formula>2.99</formula>
    </cfRule>
    <cfRule type="cellIs" dxfId="111" priority="116" operator="between">
      <formula>3</formula>
      <formula>3.49</formula>
    </cfRule>
    <cfRule type="cellIs" dxfId="110" priority="117" operator="between">
      <formula>3.5</formula>
      <formula>3.99</formula>
    </cfRule>
    <cfRule type="cellIs" dxfId="109" priority="118" operator="between">
      <formula>4</formula>
      <formula>4.49</formula>
    </cfRule>
    <cfRule type="cellIs" dxfId="108" priority="119" operator="between">
      <formula>4.5</formula>
      <formula>4.99</formula>
    </cfRule>
  </conditionalFormatting>
  <conditionalFormatting sqref="L4">
    <cfRule type="cellIs" dxfId="107" priority="89" operator="equal">
      <formula>0</formula>
    </cfRule>
    <cfRule type="cellIs" dxfId="106" priority="90" operator="between">
      <formula>0.01</formula>
      <formula>0.99</formula>
    </cfRule>
    <cfRule type="cellIs" dxfId="105" priority="91" operator="between">
      <formula>1</formula>
      <formula>1.49</formula>
    </cfRule>
    <cfRule type="cellIs" dxfId="104" priority="92" operator="between">
      <formula>1.5</formula>
      <formula>1.99</formula>
    </cfRule>
    <cfRule type="cellIs" dxfId="103" priority="93" operator="between">
      <formula>2</formula>
      <formula>2.49</formula>
    </cfRule>
    <cfRule type="cellIs" dxfId="102" priority="94" operator="between">
      <formula>2.5</formula>
      <formula>2.99</formula>
    </cfRule>
    <cfRule type="cellIs" dxfId="101" priority="95" operator="between">
      <formula>3</formula>
      <formula>3.49</formula>
    </cfRule>
    <cfRule type="cellIs" dxfId="100" priority="96" operator="between">
      <formula>3.5</formula>
      <formula>3.99</formula>
    </cfRule>
    <cfRule type="cellIs" dxfId="99" priority="97" operator="between">
      <formula>4</formula>
      <formula>4.49</formula>
    </cfRule>
    <cfRule type="cellIs" dxfId="98" priority="98" operator="between">
      <formula>4.5</formula>
      <formula>4.99</formula>
    </cfRule>
    <cfRule type="cellIs" dxfId="97" priority="99" operator="equal">
      <formula>5</formula>
    </cfRule>
    <cfRule type="cellIs" dxfId="96" priority="131" operator="between">
      <formula>0.01</formula>
      <formula>0.99</formula>
    </cfRule>
    <cfRule type="cellIs" dxfId="95" priority="132" operator="between">
      <formula>1</formula>
      <formula>1.49</formula>
    </cfRule>
    <cfRule type="cellIs" dxfId="94" priority="133" operator="between">
      <formula>1.5</formula>
      <formula>1.99</formula>
    </cfRule>
    <cfRule type="cellIs" dxfId="93" priority="134" operator="between">
      <formula>2</formula>
      <formula>2.49</formula>
    </cfRule>
    <cfRule type="cellIs" dxfId="92" priority="135" operator="between">
      <formula>2.5</formula>
      <formula>2.99</formula>
    </cfRule>
    <cfRule type="cellIs" dxfId="91" priority="136" operator="between">
      <formula>3</formula>
      <formula>3.49</formula>
    </cfRule>
    <cfRule type="cellIs" dxfId="90" priority="137" operator="between">
      <formula>3.5</formula>
      <formula>3.99</formula>
    </cfRule>
    <cfRule type="cellIs" dxfId="89" priority="138" operator="between">
      <formula>4</formula>
      <formula>4.49</formula>
    </cfRule>
    <cfRule type="cellIs" dxfId="88" priority="139" operator="between">
      <formula>4.5</formula>
      <formula>4.99</formula>
    </cfRule>
  </conditionalFormatting>
  <conditionalFormatting sqref="N4 P4 J7 L7 N7 P7 J10 L10 N10 P10 J13 L13 N13 P13 J16 L16 N16 P16 H19 J19 L19 N19 P19">
    <cfRule type="cellIs" dxfId="87" priority="120" operator="equal">
      <formula>0</formula>
    </cfRule>
    <cfRule type="cellIs" dxfId="86" priority="121" operator="between">
      <formula>0.01</formula>
      <formula>0.99</formula>
    </cfRule>
    <cfRule type="cellIs" dxfId="85" priority="122" operator="between">
      <formula>1</formula>
      <formula>1.49</formula>
    </cfRule>
    <cfRule type="cellIs" dxfId="84" priority="123" operator="between">
      <formula>1.5</formula>
      <formula>1.99</formula>
    </cfRule>
    <cfRule type="cellIs" dxfId="83" priority="124" operator="between">
      <formula>2</formula>
      <formula>2.49</formula>
    </cfRule>
    <cfRule type="cellIs" dxfId="82" priority="125" operator="between">
      <formula>2.5</formula>
      <formula>2.99</formula>
    </cfRule>
    <cfRule type="cellIs" dxfId="81" priority="126" operator="between">
      <formula>3</formula>
      <formula>3.49</formula>
    </cfRule>
    <cfRule type="cellIs" dxfId="80" priority="127" operator="between">
      <formula>3.5</formula>
      <formula>3.99</formula>
    </cfRule>
    <cfRule type="cellIs" dxfId="79" priority="128" operator="between">
      <formula>4</formula>
      <formula>4.49</formula>
    </cfRule>
    <cfRule type="cellIs" dxfId="78" priority="129" operator="between">
      <formula>4.5</formula>
      <formula>4.99</formula>
    </cfRule>
    <cfRule type="cellIs" dxfId="77" priority="130" operator="equal">
      <formula>5</formula>
    </cfRule>
  </conditionalFormatting>
  <conditionalFormatting sqref="P21">
    <cfRule type="cellIs" dxfId="76" priority="67" operator="equal">
      <formula>0</formula>
    </cfRule>
    <cfRule type="cellIs" dxfId="75" priority="68" operator="between">
      <formula>0.01</formula>
      <formula>0.99</formula>
    </cfRule>
    <cfRule type="cellIs" dxfId="74" priority="69" operator="between">
      <formula>1</formula>
      <formula>1.49</formula>
    </cfRule>
    <cfRule type="cellIs" dxfId="73" priority="70" operator="between">
      <formula>1.5</formula>
      <formula>1.99</formula>
    </cfRule>
    <cfRule type="cellIs" dxfId="72" priority="71" operator="between">
      <formula>2</formula>
      <formula>2.49</formula>
    </cfRule>
    <cfRule type="cellIs" dxfId="71" priority="72" operator="between">
      <formula>2.5</formula>
      <formula>2.99</formula>
    </cfRule>
    <cfRule type="cellIs" dxfId="70" priority="73" operator="between">
      <formula>3</formula>
      <formula>3.49</formula>
    </cfRule>
    <cfRule type="cellIs" dxfId="69" priority="74" operator="between">
      <formula>3.5</formula>
      <formula>3.99</formula>
    </cfRule>
    <cfRule type="cellIs" dxfId="68" priority="75" operator="between">
      <formula>4</formula>
      <formula>4.49</formula>
    </cfRule>
    <cfRule type="cellIs" dxfId="67" priority="76" operator="between">
      <formula>4.5</formula>
      <formula>4.99</formula>
    </cfRule>
    <cfRule type="cellIs" dxfId="66" priority="77" operator="equal">
      <formula>5</formula>
    </cfRule>
  </conditionalFormatting>
  <conditionalFormatting sqref="S4">
    <cfRule type="cellIs" dxfId="65" priority="56" operator="equal">
      <formula>0</formula>
    </cfRule>
    <cfRule type="cellIs" dxfId="64" priority="57" operator="between">
      <formula>0.01</formula>
      <formula>0.99</formula>
    </cfRule>
    <cfRule type="cellIs" dxfId="63" priority="58" operator="between">
      <formula>1</formula>
      <formula>1.49</formula>
    </cfRule>
    <cfRule type="cellIs" dxfId="62" priority="59" operator="between">
      <formula>1.5</formula>
      <formula>1.99</formula>
    </cfRule>
    <cfRule type="cellIs" dxfId="61" priority="60" operator="between">
      <formula>2</formula>
      <formula>2.49</formula>
    </cfRule>
    <cfRule type="cellIs" dxfId="60" priority="61" operator="between">
      <formula>2.5</formula>
      <formula>2.99</formula>
    </cfRule>
    <cfRule type="cellIs" dxfId="59" priority="62" operator="between">
      <formula>3</formula>
      <formula>3.49</formula>
    </cfRule>
    <cfRule type="cellIs" dxfId="58" priority="63" operator="between">
      <formula>3.5</formula>
      <formula>3.99</formula>
    </cfRule>
    <cfRule type="cellIs" dxfId="57" priority="64" operator="between">
      <formula>4</formula>
      <formula>4.49</formula>
    </cfRule>
    <cfRule type="cellIs" dxfId="56" priority="65" operator="between">
      <formula>4.5</formula>
      <formula>4.99</formula>
    </cfRule>
    <cfRule type="cellIs" dxfId="55" priority="66" operator="equal">
      <formula>5</formula>
    </cfRule>
  </conditionalFormatting>
  <conditionalFormatting sqref="S7">
    <cfRule type="cellIs" dxfId="54" priority="45" operator="equal">
      <formula>0</formula>
    </cfRule>
    <cfRule type="cellIs" dxfId="53" priority="46" operator="between">
      <formula>0.01</formula>
      <formula>0.99</formula>
    </cfRule>
    <cfRule type="cellIs" dxfId="52" priority="47" operator="between">
      <formula>1</formula>
      <formula>1.49</formula>
    </cfRule>
    <cfRule type="cellIs" dxfId="51" priority="48" operator="between">
      <formula>1.5</formula>
      <formula>1.99</formula>
    </cfRule>
    <cfRule type="cellIs" dxfId="50" priority="49" operator="between">
      <formula>2</formula>
      <formula>2.49</formula>
    </cfRule>
    <cfRule type="cellIs" dxfId="49" priority="50" operator="between">
      <formula>2.5</formula>
      <formula>2.99</formula>
    </cfRule>
    <cfRule type="cellIs" dxfId="48" priority="51" operator="between">
      <formula>3</formula>
      <formula>3.49</formula>
    </cfRule>
    <cfRule type="cellIs" dxfId="47" priority="52" operator="between">
      <formula>3.5</formula>
      <formula>3.99</formula>
    </cfRule>
    <cfRule type="cellIs" dxfId="46" priority="53" operator="between">
      <formula>4</formula>
      <formula>4.49</formula>
    </cfRule>
    <cfRule type="cellIs" dxfId="45" priority="54" operator="between">
      <formula>4.5</formula>
      <formula>4.99</formula>
    </cfRule>
    <cfRule type="cellIs" dxfId="44" priority="55" operator="equal">
      <formula>5</formula>
    </cfRule>
  </conditionalFormatting>
  <conditionalFormatting sqref="S10">
    <cfRule type="cellIs" dxfId="43" priority="34" operator="equal">
      <formula>0</formula>
    </cfRule>
    <cfRule type="cellIs" dxfId="42" priority="35" operator="between">
      <formula>0.01</formula>
      <formula>0.99</formula>
    </cfRule>
    <cfRule type="cellIs" dxfId="41" priority="36" operator="between">
      <formula>1</formula>
      <formula>1.49</formula>
    </cfRule>
    <cfRule type="cellIs" dxfId="40" priority="37" operator="between">
      <formula>1.5</formula>
      <formula>1.99</formula>
    </cfRule>
    <cfRule type="cellIs" dxfId="39" priority="38" operator="between">
      <formula>2</formula>
      <formula>2.49</formula>
    </cfRule>
    <cfRule type="cellIs" dxfId="38" priority="39" operator="between">
      <formula>2.5</formula>
      <formula>2.99</formula>
    </cfRule>
    <cfRule type="cellIs" dxfId="37" priority="40" operator="between">
      <formula>3</formula>
      <formula>3.49</formula>
    </cfRule>
    <cfRule type="cellIs" dxfId="36" priority="41" operator="between">
      <formula>3.5</formula>
      <formula>3.99</formula>
    </cfRule>
    <cfRule type="cellIs" dxfId="35" priority="42" operator="between">
      <formula>4</formula>
      <formula>4.49</formula>
    </cfRule>
    <cfRule type="cellIs" dxfId="34" priority="43" operator="between">
      <formula>4.5</formula>
      <formula>4.99</formula>
    </cfRule>
    <cfRule type="cellIs" dxfId="33" priority="44" operator="equal">
      <formula>5</formula>
    </cfRule>
  </conditionalFormatting>
  <conditionalFormatting sqref="S13">
    <cfRule type="cellIs" dxfId="32" priority="23" operator="equal">
      <formula>0</formula>
    </cfRule>
    <cfRule type="cellIs" dxfId="31" priority="24" operator="between">
      <formula>0.01</formula>
      <formula>0.99</formula>
    </cfRule>
    <cfRule type="cellIs" dxfId="30" priority="25" operator="between">
      <formula>1</formula>
      <formula>1.49</formula>
    </cfRule>
    <cfRule type="cellIs" dxfId="29" priority="26" operator="between">
      <formula>1.5</formula>
      <formula>1.99</formula>
    </cfRule>
    <cfRule type="cellIs" dxfId="28" priority="27" operator="between">
      <formula>2</formula>
      <formula>2.49</formula>
    </cfRule>
    <cfRule type="cellIs" dxfId="27" priority="28" operator="between">
      <formula>2.5</formula>
      <formula>2.99</formula>
    </cfRule>
    <cfRule type="cellIs" dxfId="26" priority="29" operator="between">
      <formula>3</formula>
      <formula>3.49</formula>
    </cfRule>
    <cfRule type="cellIs" dxfId="25" priority="30" operator="between">
      <formula>3.5</formula>
      <formula>3.99</formula>
    </cfRule>
    <cfRule type="cellIs" dxfId="24" priority="31" operator="between">
      <formula>4</formula>
      <formula>4.49</formula>
    </cfRule>
    <cfRule type="cellIs" dxfId="23" priority="32" operator="between">
      <formula>4.5</formula>
      <formula>4.99</formula>
    </cfRule>
    <cfRule type="cellIs" dxfId="22" priority="33" operator="equal">
      <formula>5</formula>
    </cfRule>
  </conditionalFormatting>
  <conditionalFormatting sqref="S16">
    <cfRule type="cellIs" dxfId="21" priority="12" operator="equal">
      <formula>0</formula>
    </cfRule>
    <cfRule type="cellIs" dxfId="20" priority="13" operator="between">
      <formula>0.01</formula>
      <formula>0.99</formula>
    </cfRule>
    <cfRule type="cellIs" dxfId="19" priority="14" operator="between">
      <formula>1</formula>
      <formula>1.49</formula>
    </cfRule>
    <cfRule type="cellIs" dxfId="18" priority="15" operator="between">
      <formula>1.5</formula>
      <formula>1.99</formula>
    </cfRule>
    <cfRule type="cellIs" dxfId="17" priority="16" operator="between">
      <formula>2</formula>
      <formula>2.49</formula>
    </cfRule>
    <cfRule type="cellIs" dxfId="16" priority="17" operator="between">
      <formula>2.5</formula>
      <formula>2.99</formula>
    </cfRule>
    <cfRule type="cellIs" dxfId="15" priority="18" operator="between">
      <formula>3</formula>
      <formula>3.49</formula>
    </cfRule>
    <cfRule type="cellIs" dxfId="14" priority="19" operator="between">
      <formula>3.5</formula>
      <formula>3.99</formula>
    </cfRule>
    <cfRule type="cellIs" dxfId="13" priority="20" operator="between">
      <formula>4</formula>
      <formula>4.49</formula>
    </cfRule>
    <cfRule type="cellIs" dxfId="12" priority="21" operator="between">
      <formula>4.5</formula>
      <formula>4.99</formula>
    </cfRule>
    <cfRule type="cellIs" dxfId="11" priority="22" operator="equal">
      <formula>5</formula>
    </cfRule>
  </conditionalFormatting>
  <conditionalFormatting sqref="S19">
    <cfRule type="cellIs" dxfId="10" priority="1" operator="equal">
      <formula>0</formula>
    </cfRule>
    <cfRule type="cellIs" dxfId="9" priority="2" operator="between">
      <formula>0.01</formula>
      <formula>0.99</formula>
    </cfRule>
    <cfRule type="cellIs" dxfId="8" priority="3" operator="between">
      <formula>1</formula>
      <formula>1.49</formula>
    </cfRule>
    <cfRule type="cellIs" dxfId="7" priority="4" operator="between">
      <formula>1.5</formula>
      <formula>1.99</formula>
    </cfRule>
    <cfRule type="cellIs" dxfId="6" priority="5" operator="between">
      <formula>2</formula>
      <formula>2.49</formula>
    </cfRule>
    <cfRule type="cellIs" dxfId="5" priority="6" operator="between">
      <formula>2.5</formula>
      <formula>2.99</formula>
    </cfRule>
    <cfRule type="cellIs" dxfId="4" priority="7" operator="between">
      <formula>3</formula>
      <formula>3.49</formula>
    </cfRule>
    <cfRule type="cellIs" dxfId="3" priority="8" operator="between">
      <formula>3.5</formula>
      <formula>3.99</formula>
    </cfRule>
    <cfRule type="cellIs" dxfId="2" priority="9" operator="between">
      <formula>4</formula>
      <formula>4.49</formula>
    </cfRule>
    <cfRule type="cellIs" dxfId="1" priority="10" operator="between">
      <formula>4.5</formula>
      <formula>4.99</formula>
    </cfRule>
    <cfRule type="cellIs" dxfId="0" priority="11" operator="equal">
      <formula>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Calc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Hillyer, Matthew</dc:creator>
  <cp:lastModifiedBy>Hillyer, Matthew</cp:lastModifiedBy>
  <dcterms:created xsi:type="dcterms:W3CDTF">2022-10-05T12:46:18Z</dcterms:created>
  <dcterms:modified xsi:type="dcterms:W3CDTF">2026-04-06T19:30:49Z</dcterms:modified>
</cp:coreProperties>
</file>